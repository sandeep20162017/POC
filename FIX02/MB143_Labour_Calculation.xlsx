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Owner\Downloads\"/>
    </mc:Choice>
  </mc:AlternateContent>
  <xr:revisionPtr revIDLastSave="0" documentId="13_ncr:1_{EB623E31-C553-4EEA-A063-31E8A0F9AAF6}" xr6:coauthVersionLast="47" xr6:coauthVersionMax="47" xr10:uidLastSave="{00000000-0000-0000-0000-000000000000}"/>
  <bookViews>
    <workbookView xWindow="-120" yWindow="-120" windowWidth="24240" windowHeight="13140" tabRatio="500" activeTab="3" xr2:uid="{00000000-000D-0000-FFFF-FFFF00000000}"/>
  </bookViews>
  <sheets>
    <sheet name="Inputs" sheetId="1" r:id="rId1"/>
    <sheet name="Calculations" sheetId="2" r:id="rId2"/>
    <sheet name="Settings Usage" sheetId="3" r:id="rId3"/>
    <sheet name="Field Reference" sheetId="4" r:id="rId4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7" i="3" l="1"/>
  <c r="E6" i="3"/>
  <c r="E5" i="3"/>
  <c r="E4" i="3"/>
  <c r="E14" i="2"/>
  <c r="G14" i="2" s="1"/>
  <c r="E4" i="2"/>
  <c r="E5" i="2" s="1"/>
  <c r="G8" i="2" s="1"/>
  <c r="B11" i="1"/>
  <c r="E15" i="2" l="1"/>
  <c r="G15" i="2" s="1"/>
  <c r="G5" i="2"/>
  <c r="E6" i="2"/>
  <c r="E8" i="2"/>
  <c r="E12" i="2"/>
  <c r="G4" i="2"/>
  <c r="E7" i="2" l="1"/>
  <c r="G7" i="2" s="1"/>
  <c r="G6" i="2"/>
  <c r="E13" i="2"/>
  <c r="G13" i="2" s="1"/>
  <c r="E9" i="2"/>
  <c r="E10" i="2" s="1"/>
  <c r="E16" i="2"/>
  <c r="E17" i="2" s="1"/>
  <c r="G12" i="2"/>
  <c r="E11" i="2" l="1"/>
  <c r="G11" i="2" s="1"/>
  <c r="G10" i="2"/>
  <c r="G9" i="2"/>
  <c r="G16" i="2"/>
  <c r="E18" i="2"/>
  <c r="G17" i="2"/>
  <c r="G18" i="2"/>
  <c r="E19" i="2" l="1"/>
  <c r="G19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15" authorId="0" shapeId="0" xr:uid="{00000000-0006-0000-0000-000001000000}">
      <text>
        <r>
          <rPr>
            <sz val="10"/>
            <rFont val="Arial"/>
            <family val="2"/>
          </rPr>
          <t>Assumption: values 0.73, 1.2, 0.51, 0 come from your SQL result row for MB143.</t>
        </r>
      </text>
    </comment>
  </commentList>
</comments>
</file>

<file path=xl/sharedStrings.xml><?xml version="1.0" encoding="utf-8"?>
<sst xmlns="http://schemas.openxmlformats.org/spreadsheetml/2006/main" count="238" uniqueCount="191">
  <si>
    <t>MB143 Labour Calculation - Inputs</t>
  </si>
  <si>
    <t>Blue = stored/input value. Change a blue cell and the Calculations sheet recalculates.</t>
  </si>
  <si>
    <t>Input</t>
  </si>
  <si>
    <t>Value</t>
  </si>
  <si>
    <t>Source</t>
  </si>
  <si>
    <t>Where it comes from</t>
  </si>
  <si>
    <t>Estimate / Type</t>
  </si>
  <si>
    <t>MB143 / MB</t>
  </si>
  <si>
    <t>[EL] EMPLOYEE_LABOUR</t>
  </si>
  <si>
    <t>link_number, typeid</t>
  </si>
  <si>
    <t>Task</t>
  </si>
  <si>
    <t>OVERHAUL</t>
  </si>
  <si>
    <t>task</t>
  </si>
  <si>
    <t>Cost centre</t>
  </si>
  <si>
    <t>05H2</t>
  </si>
  <si>
    <t>costcentre</t>
  </si>
  <si>
    <t>Labour definition</t>
  </si>
  <si>
    <t>COACH TECHNICIAN</t>
  </si>
  <si>
    <t>labour_defn</t>
  </si>
  <si>
    <t>Time Required (hours)</t>
  </si>
  <si>
    <t>hrs_reqd = 2:00 (typed by user), shown as decimal hours</t>
  </si>
  <si>
    <t>Time Addition (hours)</t>
  </si>
  <si>
    <t>time_addition (stored; packages only read it)</t>
  </si>
  <si>
    <t>Wrench time stored, old row (H:MM as decimal hours)</t>
  </si>
  <si>
    <t>adj_hrs = 1:33 (old row)</t>
  </si>
  <si>
    <t>Usage %</t>
  </si>
  <si>
    <t>usage</t>
  </si>
  <si>
    <t>Rate per hour</t>
  </si>
  <si>
    <t>[ES] EMPLOYEE_SALARIES</t>
  </si>
  <si>
    <t>labour_defn -&gt; EMPL_CLASS.wage_group -&gt; rate_per_hour</t>
  </si>
  <si>
    <t>OVERHEAD</t>
  </si>
  <si>
    <t>[CS] CES_SETTINGS</t>
  </si>
  <si>
    <t>parameter OVERHEAD</t>
  </si>
  <si>
    <t>NON_PRODUCTIVE_ADJUSTMENT</t>
  </si>
  <si>
    <t>parameter NON_PRODUCTIVE_ADJUSTMENT</t>
  </si>
  <si>
    <t>FRINGE</t>
  </si>
  <si>
    <t>parameter FRINGE</t>
  </si>
  <si>
    <t>BENEFIT</t>
  </si>
  <si>
    <t>parameter BENEFIT</t>
  </si>
  <si>
    <t>Material total (excl. tax)</t>
  </si>
  <si>
    <t>Report</t>
  </si>
  <si>
    <t>Taken from your report; not recalculated. Assumes core cost = 0.</t>
  </si>
  <si>
    <t>MB143 Labour Calculations (legacy CES packages vs new app)</t>
  </si>
  <si>
    <t>#</t>
  </si>
  <si>
    <t>Formula</t>
  </si>
  <si>
    <t>Inputs used</t>
  </si>
  <si>
    <t>Result</t>
  </si>
  <si>
    <t>Unit</t>
  </si>
  <si>
    <t>Formula with actual MB143 values</t>
  </si>
  <si>
    <t>How the final value is reached</t>
  </si>
  <si>
    <t>Time in minutes</t>
  </si>
  <si>
    <t>HHMM_TO_MINUTES(time_addition) = hours x 60</t>
  </si>
  <si>
    <t>[EL] time_addition</t>
  </si>
  <si>
    <t>min</t>
  </si>
  <si>
    <t>Time Addition is stored in decimal hours; multiply by 60 to get minutes.</t>
  </si>
  <si>
    <t>Row labour cost</t>
  </si>
  <si>
    <t>rate x minutes x usage / 6000</t>
  </si>
  <si>
    <t>[ES] rate, [EL] usage, step 1</t>
  </si>
  <si>
    <t>$</t>
  </si>
  <si>
    <t>Rate per hour x minutes x usage, divided by 6000 (60 minutes x 100 percent). Equals rate x hours x usage%.</t>
  </si>
  <si>
    <t>Extended (total) time</t>
  </si>
  <si>
    <t>ROUND(usage/100 x minutes)</t>
  </si>
  <si>
    <t>[EL] usage, step 1</t>
  </si>
  <si>
    <t>Usage share of the minutes, rounded to whole minutes. This is the hours total in the summary.</t>
  </si>
  <si>
    <t>Extended time as H:MM</t>
  </si>
  <si>
    <t>minutes / 60 : minutes mod 60</t>
  </si>
  <si>
    <t>Step 3</t>
  </si>
  <si>
    <t>H:MM</t>
  </si>
  <si>
    <t>Whole hours = minutes / 60. Leftover minutes become the MM part.</t>
  </si>
  <si>
    <t>Labour subtotal</t>
  </si>
  <si>
    <t>SUM of row costs (single row for MB143)</t>
  </si>
  <si>
    <t>Step 2</t>
  </si>
  <si>
    <t>Add up the cost of every labour row on the estimate. MB143 has one row.</t>
  </si>
  <si>
    <t>Labour overhead</t>
  </si>
  <si>
    <t>OVERHEAD x labour subtotal</t>
  </si>
  <si>
    <t>[CS] OVERHEAD, step 5</t>
  </si>
  <si>
    <t>OVERHEAD setting (0.73) times the labour subtotal, rounded to 2 decimals. Fringe and benefits are not part of it.</t>
  </si>
  <si>
    <t>Labour total (incl. overhead)</t>
  </si>
  <si>
    <t>subtotal + overhead</t>
  </si>
  <si>
    <t>Steps 5 and 6</t>
  </si>
  <si>
    <t>Labour subtotal plus overhead.</t>
  </si>
  <si>
    <t>Total cost (excl. tax)</t>
  </si>
  <si>
    <t>materials - core cost + labour total</t>
  </si>
  <si>
    <t>Material total, step 7</t>
  </si>
  <si>
    <t>Material total plus labour total. Core cost is assumed to be 0, so nothing is deducted.</t>
  </si>
  <si>
    <t>Wrench time, legacy report (minutes)</t>
  </si>
  <si>
    <t>ROUND(usage/100 x adj_hrs in minutes)</t>
  </si>
  <si>
    <t>[EL] adj_hrs, usage</t>
  </si>
  <si>
    <t>Stored adj_hrs (1:33 = 1 + 33/60 = 1.55 h), converted to minutes and scaled by usage.</t>
  </si>
  <si>
    <t>Wrench time, legacy as H:MM</t>
  </si>
  <si>
    <t>Step 9</t>
  </si>
  <si>
    <t>Same hours and minutes split as step 4.</t>
  </si>
  <si>
    <t>Wrench time, new app (minutes)</t>
  </si>
  <si>
    <t>ROUND(Time Required in minutes / NON_PRODUCTIVE_ADJUSTMENT)</t>
  </si>
  <si>
    <t>[EL] hrs_reqd, [CS] NON_PRODUCTIVE_ADJUSTMENT</t>
  </si>
  <si>
    <t>Required time in minutes divided by the non-productive adjustment, rounded to whole minutes. Saved to AdjHrs when a row is created or edited.</t>
  </si>
  <si>
    <t>Wrench time, new app as H:MM (saved to AdjHrs)</t>
  </si>
  <si>
    <t>Step 11</t>
  </si>
  <si>
    <t>Same hours and minutes split as step 4. This value is stored in AdjHrs.</t>
  </si>
  <si>
    <t>Fringe (currently OFF in SQL)</t>
  </si>
  <si>
    <t>Labour subtotal x FRINGE</t>
  </si>
  <si>
    <t>[CS] FRINGE, step 5</t>
  </si>
  <si>
    <t>$ if enabled</t>
  </si>
  <si>
    <t>New app only. Labour subtotal times FRINGE. The SQL currently returns 0, so this adds nothing today.</t>
  </si>
  <si>
    <t>Benefits (currently OFF in SQL)</t>
  </si>
  <si>
    <t>(Labour + Fringe) x BENEFIT</t>
  </si>
  <si>
    <t>[CS] BENEFIT, steps 5 and 13</t>
  </si>
  <si>
    <t>New app only. Fringe is added to labour first, then BENEFIT is applied to the sum. BENEFIT is 0.</t>
  </si>
  <si>
    <t>Labour total if fringe and benefits enabled</t>
  </si>
  <si>
    <t>subtotal + fringe + benefits + overhead</t>
  </si>
  <si>
    <t>Steps 5, 6, 13, 14</t>
  </si>
  <si>
    <t>Labour subtotal + fringe + benefits + overhead. Overhead stays on the base subtotal.</t>
  </si>
  <si>
    <t>Total cost (excl. tax) if enabled</t>
  </si>
  <si>
    <t>materials + labour total with fringe/benefits</t>
  </si>
  <si>
    <t>Material total, step 15</t>
  </si>
  <si>
    <t>Material total plus labour total with fringe and benefits. Shown for comparison only.</t>
  </si>
  <si>
    <t>Notes</t>
  </si>
  <si>
    <t>-</t>
  </si>
  <si>
    <t>Cost is driven by time_addition, not by hrs_reqd or wrench time. Wrench time never multiplies a rate.</t>
  </si>
  <si>
    <t>Steps 2-4 mirror GET_LABOUR_COST; steps 5-8 mirror RPT_RBP_COST in the Oracle packages.</t>
  </si>
  <si>
    <t>Old rows keep their stored AdjHrs (1:33 for MB143). New or edited rows follow step 11 (1:40).</t>
  </si>
  <si>
    <t>Steps 13-16 are new-app only. The SQL currently returns 0 for fringe and benefit to match legacy.</t>
  </si>
  <si>
    <t>CES_SETTINGS usage in the Oracle packages</t>
  </si>
  <si>
    <t>Setting (Parameter)</t>
  </si>
  <si>
    <t>Used in legacy package cost?</t>
  </si>
  <si>
    <t>Where in the packages</t>
  </si>
  <si>
    <t>New app today</t>
  </si>
  <si>
    <t>MB143 value</t>
  </si>
  <si>
    <t>Yes</t>
  </si>
  <si>
    <t>RPT_RBP_COST: overhead = OVERHEAD x labour subtotal (INTERNAL_RB_PRICE calls it for the variance report). Older copy in RETRIEVE_RBP_TOTAL_COST is commented out.</t>
  </si>
  <si>
    <t>Used: Labour total x OVERHEAD</t>
  </si>
  <si>
    <t>No (display only)</t>
  </si>
  <si>
    <t>RETRIEVE_MB_LABOUR returns it as a VALUE column. Never multiplied or divided in cost.</t>
  </si>
  <si>
    <t>Used only to calculate Wrench Time when a row is saved</t>
  </si>
  <si>
    <t>No</t>
  </si>
  <si>
    <t>Name not referenced in the packages. RETRIEVE_CES_SETTI can fetch any parameter, so the legacy client could have used it (unverified).</t>
  </si>
  <si>
    <t>Calculated in C# but forced to 0 by the labour SQL</t>
  </si>
  <si>
    <t>Name not referenced in the packages. Same caveat as FRINGE.</t>
  </si>
  <si>
    <t>TAX_RATE</t>
  </si>
  <si>
    <t>Name not referenced. GET_MATERIAL_COST stores a separate taxable_cost, so the client most likely applied tax.</t>
  </si>
  <si>
    <t>Material total x TAX_RATE / 100; labour is not taxed</t>
  </si>
  <si>
    <t>n/a</t>
  </si>
  <si>
    <t>Labour fields: legacy CES vs new app</t>
  </si>
  <si>
    <t>Field</t>
  </si>
  <si>
    <t>Source column</t>
  </si>
  <si>
    <t>Legacy CES (packages)</t>
  </si>
  <si>
    <t>New app</t>
  </si>
  <si>
    <t>Drives cost?</t>
  </si>
  <si>
    <t>Time Required</t>
  </si>
  <si>
    <t>hrs_reqd (H:MM text)</t>
  </si>
  <si>
    <t>Shown in the labour grid. Not used in any calculation.</t>
  </si>
  <si>
    <t>Hours = H + MM/60</t>
  </si>
  <si>
    <t>Time (report)</t>
  </si>
  <si>
    <t>time_addition</t>
  </si>
  <si>
    <t>HHMM_TO_MINUTES(time_addition) = hours x 60, shown as H:MM</t>
  </si>
  <si>
    <t>TimeAddition hours; saved as Hrs + Mins/60 on create/edit</t>
  </si>
  <si>
    <t>Stored value, commas replaced with dots</t>
  </si>
  <si>
    <t>Same</t>
  </si>
  <si>
    <t>Extended / Effective Time</t>
  </si>
  <si>
    <t>time_addition, usage</t>
  </si>
  <si>
    <t>ROUND(usage/100 x HHMM_TO_MINUTES(time_addition))</t>
  </si>
  <si>
    <t>Hours x Usage / 100</t>
  </si>
  <si>
    <t>Reported hours</t>
  </si>
  <si>
    <t>Wrench Time (AdjHrs)</t>
  </si>
  <si>
    <t>adj_hrs (H:MM text)</t>
  </si>
  <si>
    <t>HHMM_TO_DECIMAL -&gt; HHMM_TO_MINUTES -&gt; ROUND(usage/100 x minutes), shown as H:MM. Display only.</t>
  </si>
  <si>
    <t>Saved: ROUND(Time Required minutes / NON_PRODUCTIVE_ADJUSTMENT) as H:MM. Reported as a numeric decimal-hours value.</t>
  </si>
  <si>
    <t>Labour Type</t>
  </si>
  <si>
    <t>labour_type</t>
  </si>
  <si>
    <t>Stored; only returned by RETRIEVE_EMPLOYEE_LABOUR</t>
  </si>
  <si>
    <t>Looked up from EmplClass by labour definition on save</t>
  </si>
  <si>
    <t>Hourly Rate</t>
  </si>
  <si>
    <t>EMPL_CLASS.wage_group, EMPLOYEE_SALARIES.rate_per_hour</t>
  </si>
  <si>
    <t>labour_defn = UPPER(EMPL_CLASS.labour_defn) -&gt; wage_group -&gt; rate</t>
  </si>
  <si>
    <t>Same lookup in SQL</t>
  </si>
  <si>
    <t>Row Labour Cost</t>
  </si>
  <si>
    <t>time_addition, usage, rate</t>
  </si>
  <si>
    <t>rate x HHMM_TO_MINUTES(time_addition) x usage / 6000</t>
  </si>
  <si>
    <t>TimeAddition x Usage/100 x Rate</t>
  </si>
  <si>
    <t>Labour Overhead</t>
  </si>
  <si>
    <t>CES_SETTINGS OVERHEAD</t>
  </si>
  <si>
    <t>MAX(OVERHEAD) x labour subtotal</t>
  </si>
  <si>
    <t>Labour total x OVERHEAD</t>
  </si>
  <si>
    <t>Fringe / Benefits</t>
  </si>
  <si>
    <t>CES_SETTINGS FRINGE, BENEFIT</t>
  </si>
  <si>
    <t>Not in the packages</t>
  </si>
  <si>
    <t>In C#, but forced to 0 by the labour SQL</t>
  </si>
  <si>
    <t>No (off)</t>
  </si>
  <si>
    <t>Fields not used in cost</t>
  </si>
  <si>
    <t>hrs_reqd, adj_hrs, labour_type, rebuilt_part_num, date_revised, costcentre, task, date_entered, last_modified_by; EMPL_CLASS.hrs_per_week, overheadtype, date_entered; EMPLOYEE_SALARIES.date_entered; USERS.use_overhead_fringe</t>
  </si>
  <si>
    <t>Display, grouping or audit only within the packages (legacy client may use some)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</si>
</sst>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\$#,##0.00;&quot;($&quot;#,##0.00\);\-"/>
  </numFmts>
  <fonts count="8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9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sz val="10"/>
      <name val="Arial"/>
      <family val="2"/>
    </font>
    <font>
      <b/>
      <sz val="1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99"/>
        <bgColor rgb="FFF2F2F2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0" borderId="0" xfId="0" applyFont="1" applyAlignment="1">
      <alignment vertical="top" wrapText="1"/>
    </xf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2" fontId="5" fillId="0" borderId="1" xfId="0" applyNumberFormat="1" applyFont="1" applyBorder="1" applyAlignment="1">
      <alignment vertical="top" wrapText="1"/>
    </xf>
    <xf numFmtId="164" fontId="5" fillId="0" borderId="1" xfId="0" applyNumberFormat="1" applyFont="1" applyBorder="1" applyAlignment="1">
      <alignment vertical="top" wrapText="1"/>
    </xf>
    <xf numFmtId="165" fontId="5" fillId="0" borderId="1" xfId="0" applyNumberFormat="1" applyFont="1" applyBorder="1" applyAlignment="1">
      <alignment vertical="top" wrapText="1"/>
    </xf>
    <xf numFmtId="1" fontId="7" fillId="0" borderId="1" xfId="0" applyNumberFormat="1" applyFont="1" applyBorder="1" applyAlignment="1">
      <alignment horizontal="right" vertical="top"/>
    </xf>
    <xf numFmtId="165" fontId="7" fillId="0" borderId="1" xfId="0" applyNumberFormat="1" applyFont="1" applyBorder="1" applyAlignment="1">
      <alignment horizontal="right" vertical="top"/>
    </xf>
    <xf numFmtId="49" fontId="7" fillId="0" borderId="1" xfId="0" applyNumberFormat="1" applyFont="1" applyBorder="1" applyAlignment="1">
      <alignment horizontal="right" vertical="top"/>
    </xf>
    <xf numFmtId="165" fontId="7" fillId="3" borderId="1" xfId="0" applyNumberFormat="1" applyFont="1" applyFill="1" applyBorder="1" applyAlignment="1">
      <alignment horizontal="right" vertical="top"/>
    </xf>
    <xf numFmtId="49" fontId="7" fillId="3" borderId="1" xfId="0" applyNumberFormat="1" applyFont="1" applyFill="1" applyBorder="1" applyAlignment="1">
      <alignment horizontal="right" vertical="top"/>
    </xf>
    <xf numFmtId="0" fontId="4" fillId="4" borderId="1" xfId="0" applyFont="1" applyFill="1" applyBorder="1" applyAlignment="1">
      <alignment vertical="top" wrapText="1"/>
    </xf>
    <xf numFmtId="165" fontId="7" fillId="4" borderId="1" xfId="0" applyNumberFormat="1" applyFont="1" applyFill="1" applyBorder="1" applyAlignment="1">
      <alignment horizontal="right" vertical="top"/>
    </xf>
    <xf numFmtId="0" fontId="7" fillId="0" borderId="0" xfId="0" applyFont="1"/>
    <xf numFmtId="0" fontId="4" fillId="0" borderId="0" xfId="0" applyFont="1"/>
    <xf numFmtId="2" fontId="4" fillId="0" borderId="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zoomScaleNormal="100" workbookViewId="0">
      <pane ySplit="4" topLeftCell="A5" activePane="bottomLeft" state="frozen"/>
      <selection pane="bottomLeft" activeCell="B11" sqref="B11"/>
    </sheetView>
  </sheetViews>
  <sheetFormatPr defaultColWidth="8.7109375" defaultRowHeight="15" x14ac:dyDescent="0.25"/>
  <cols>
    <col min="1" max="1" width="44" customWidth="1"/>
    <col min="2" max="2" width="20" customWidth="1"/>
    <col min="3" max="3" width="26" customWidth="1"/>
    <col min="4" max="4" width="62" customWidth="1"/>
  </cols>
  <sheetData>
    <row r="1" spans="1:4" ht="18" x14ac:dyDescent="0.25">
      <c r="A1" s="2" t="s">
        <v>0</v>
      </c>
    </row>
    <row r="2" spans="1:4" x14ac:dyDescent="0.25">
      <c r="A2" s="3" t="s">
        <v>1</v>
      </c>
    </row>
    <row r="4" spans="1:4" x14ac:dyDescent="0.25">
      <c r="A4" s="4" t="s">
        <v>2</v>
      </c>
      <c r="B4" s="4" t="s">
        <v>3</v>
      </c>
      <c r="C4" s="4" t="s">
        <v>4</v>
      </c>
      <c r="D4" s="4" t="s">
        <v>5</v>
      </c>
    </row>
    <row r="5" spans="1:4" x14ac:dyDescent="0.25">
      <c r="A5" s="5" t="s">
        <v>6</v>
      </c>
      <c r="B5" s="6" t="s">
        <v>7</v>
      </c>
      <c r="C5" s="5" t="s">
        <v>8</v>
      </c>
      <c r="D5" s="5" t="s">
        <v>9</v>
      </c>
    </row>
    <row r="6" spans="1:4" x14ac:dyDescent="0.25">
      <c r="A6" s="5" t="s">
        <v>10</v>
      </c>
      <c r="B6" s="6" t="s">
        <v>11</v>
      </c>
      <c r="C6" s="5" t="s">
        <v>8</v>
      </c>
      <c r="D6" s="5" t="s">
        <v>12</v>
      </c>
    </row>
    <row r="7" spans="1:4" x14ac:dyDescent="0.25">
      <c r="A7" s="5" t="s">
        <v>13</v>
      </c>
      <c r="B7" s="6" t="s">
        <v>14</v>
      </c>
      <c r="C7" s="5" t="s">
        <v>8</v>
      </c>
      <c r="D7" s="5" t="s">
        <v>15</v>
      </c>
    </row>
    <row r="8" spans="1:4" x14ac:dyDescent="0.25">
      <c r="A8" s="5" t="s">
        <v>16</v>
      </c>
      <c r="B8" s="6" t="s">
        <v>17</v>
      </c>
      <c r="C8" s="5" t="s">
        <v>8</v>
      </c>
      <c r="D8" s="5" t="s">
        <v>18</v>
      </c>
    </row>
    <row r="9" spans="1:4" x14ac:dyDescent="0.25">
      <c r="A9" s="5" t="s">
        <v>19</v>
      </c>
      <c r="B9" s="7">
        <v>2</v>
      </c>
      <c r="C9" s="5" t="s">
        <v>8</v>
      </c>
      <c r="D9" s="5" t="s">
        <v>20</v>
      </c>
    </row>
    <row r="10" spans="1:4" x14ac:dyDescent="0.25">
      <c r="A10" s="5" t="s">
        <v>21</v>
      </c>
      <c r="B10" s="7">
        <v>2</v>
      </c>
      <c r="C10" s="5" t="s">
        <v>8</v>
      </c>
      <c r="D10" s="5" t="s">
        <v>22</v>
      </c>
    </row>
    <row r="11" spans="1:4" ht="25.5" x14ac:dyDescent="0.25">
      <c r="A11" s="5" t="s">
        <v>23</v>
      </c>
      <c r="B11" s="8">
        <f>1+33/60</f>
        <v>1.55</v>
      </c>
      <c r="C11" s="5" t="s">
        <v>8</v>
      </c>
      <c r="D11" s="5" t="s">
        <v>24</v>
      </c>
    </row>
    <row r="12" spans="1:4" x14ac:dyDescent="0.25">
      <c r="A12" s="5" t="s">
        <v>25</v>
      </c>
      <c r="B12" s="7">
        <v>100</v>
      </c>
      <c r="C12" s="5" t="s">
        <v>8</v>
      </c>
      <c r="D12" s="5" t="s">
        <v>26</v>
      </c>
    </row>
    <row r="13" spans="1:4" ht="25.5" x14ac:dyDescent="0.25">
      <c r="A13" s="5" t="s">
        <v>27</v>
      </c>
      <c r="B13" s="9">
        <v>50.52</v>
      </c>
      <c r="C13" s="5" t="s">
        <v>28</v>
      </c>
      <c r="D13" s="5" t="s">
        <v>29</v>
      </c>
    </row>
    <row r="14" spans="1:4" x14ac:dyDescent="0.25">
      <c r="A14" s="5" t="s">
        <v>30</v>
      </c>
      <c r="B14" s="7">
        <v>0.73</v>
      </c>
      <c r="C14" s="5" t="s">
        <v>31</v>
      </c>
      <c r="D14" s="5" t="s">
        <v>32</v>
      </c>
    </row>
    <row r="15" spans="1:4" x14ac:dyDescent="0.25">
      <c r="A15" s="5" t="s">
        <v>33</v>
      </c>
      <c r="B15" s="7">
        <v>1.2</v>
      </c>
      <c r="C15" s="5" t="s">
        <v>31</v>
      </c>
      <c r="D15" s="5" t="s">
        <v>34</v>
      </c>
    </row>
    <row r="16" spans="1:4" x14ac:dyDescent="0.25">
      <c r="A16" s="5" t="s">
        <v>35</v>
      </c>
      <c r="B16" s="7">
        <v>0.51</v>
      </c>
      <c r="C16" s="5" t="s">
        <v>31</v>
      </c>
      <c r="D16" s="5" t="s">
        <v>36</v>
      </c>
    </row>
    <row r="17" spans="1:4" x14ac:dyDescent="0.25">
      <c r="A17" s="5" t="s">
        <v>37</v>
      </c>
      <c r="B17" s="7">
        <v>0</v>
      </c>
      <c r="C17" s="5" t="s">
        <v>31</v>
      </c>
      <c r="D17" s="5" t="s">
        <v>38</v>
      </c>
    </row>
    <row r="18" spans="1:4" x14ac:dyDescent="0.25">
      <c r="A18" s="5" t="s">
        <v>39</v>
      </c>
      <c r="B18" s="9">
        <v>639.08000000000004</v>
      </c>
      <c r="C18" s="5" t="s">
        <v>40</v>
      </c>
      <c r="D18" s="5" t="s">
        <v>41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"/>
  <sheetViews>
    <sheetView zoomScaleNormal="100" workbookViewId="0">
      <pane ySplit="3" topLeftCell="A16" activePane="bottomLeft" state="frozen"/>
      <selection pane="bottomLeft" activeCell="B27" sqref="B27"/>
    </sheetView>
  </sheetViews>
  <sheetFormatPr defaultColWidth="8.7109375" defaultRowHeight="15" x14ac:dyDescent="0.25"/>
  <cols>
    <col min="1" max="1" width="5" customWidth="1"/>
    <col min="2" max="2" width="44" customWidth="1"/>
    <col min="3" max="3" width="52" customWidth="1"/>
    <col min="4" max="4" width="40" customWidth="1"/>
    <col min="5" max="5" width="16" customWidth="1"/>
    <col min="6" max="6" width="12" customWidth="1"/>
    <col min="7" max="8" width="62" customWidth="1"/>
  </cols>
  <sheetData>
    <row r="1" spans="1:8" ht="18" x14ac:dyDescent="0.25">
      <c r="A1" s="2" t="s">
        <v>42</v>
      </c>
    </row>
    <row r="3" spans="1:8" x14ac:dyDescent="0.25">
      <c r="A3" s="4" t="s">
        <v>43</v>
      </c>
      <c r="B3" s="4" t="s">
        <v>3</v>
      </c>
      <c r="C3" s="4" t="s">
        <v>44</v>
      </c>
      <c r="D3" s="4" t="s">
        <v>45</v>
      </c>
      <c r="E3" s="4" t="s">
        <v>46</v>
      </c>
      <c r="F3" s="4" t="s">
        <v>47</v>
      </c>
      <c r="G3" s="4" t="s">
        <v>48</v>
      </c>
      <c r="H3" s="4" t="s">
        <v>49</v>
      </c>
    </row>
    <row r="4" spans="1:8" ht="42" customHeight="1" x14ac:dyDescent="0.25">
      <c r="A4" s="5">
        <v>1</v>
      </c>
      <c r="B4" s="5" t="s">
        <v>50</v>
      </c>
      <c r="C4" s="5" t="s">
        <v>51</v>
      </c>
      <c r="D4" s="5" t="s">
        <v>52</v>
      </c>
      <c r="E4" s="10">
        <f>Inputs!$B$10*60</f>
        <v>120</v>
      </c>
      <c r="F4" s="5" t="s">
        <v>53</v>
      </c>
      <c r="G4" s="5" t="str">
        <f>"Time Addition "&amp;TEXT(Inputs!$B$10,"0.00")&amp;" h x 60 = "&amp;TEXT(E4,"0")&amp;" min"</f>
        <v>Time Addition 2.00 h x 60 = 120 min</v>
      </c>
      <c r="H4" s="5" t="s">
        <v>54</v>
      </c>
    </row>
    <row r="5" spans="1:8" ht="42" customHeight="1" x14ac:dyDescent="0.25">
      <c r="A5" s="5">
        <v>2</v>
      </c>
      <c r="B5" s="5" t="s">
        <v>55</v>
      </c>
      <c r="C5" s="5" t="s">
        <v>56</v>
      </c>
      <c r="D5" s="5" t="s">
        <v>57</v>
      </c>
      <c r="E5" s="11">
        <f>Inputs!$B$13*E4*Inputs!$B$12/6000</f>
        <v>101.04</v>
      </c>
      <c r="F5" s="5" t="s">
        <v>58</v>
      </c>
      <c r="G5" s="5" t="str">
        <f>"$"&amp;TEXT(Inputs!$B$13,"#,##0.00")&amp;" x "&amp;TEXT(E4,"0")&amp;" min x "&amp;TEXT(Inputs!$B$12,"0")&amp;" / 6000 = "&amp;"$"&amp;TEXT(E5,"#,##0.00")</f>
        <v>$50.52 x 120 min x 100 / 6000 = $101.04</v>
      </c>
      <c r="H5" s="5" t="s">
        <v>59</v>
      </c>
    </row>
    <row r="6" spans="1:8" ht="42" customHeight="1" x14ac:dyDescent="0.25">
      <c r="A6" s="5">
        <v>3</v>
      </c>
      <c r="B6" s="5" t="s">
        <v>60</v>
      </c>
      <c r="C6" s="5" t="s">
        <v>61</v>
      </c>
      <c r="D6" s="5" t="s">
        <v>62</v>
      </c>
      <c r="E6" s="10">
        <f>ROUND(Inputs!$B$12/100*E4,0)</f>
        <v>120</v>
      </c>
      <c r="F6" s="5" t="s">
        <v>53</v>
      </c>
      <c r="G6" s="5" t="str">
        <f>TEXT(Inputs!$B$12,"0")&amp;" / 100 x "&amp;TEXT(E4,"0")&amp;" min = "&amp;TEXT(E6,"0")&amp;" min"</f>
        <v>100 / 100 x 120 min = 120 min</v>
      </c>
      <c r="H6" s="5" t="s">
        <v>63</v>
      </c>
    </row>
    <row r="7" spans="1:8" ht="42" customHeight="1" x14ac:dyDescent="0.25">
      <c r="A7" s="5">
        <v>4</v>
      </c>
      <c r="B7" s="5" t="s">
        <v>64</v>
      </c>
      <c r="C7" s="5" t="s">
        <v>65</v>
      </c>
      <c r="D7" s="5" t="s">
        <v>66</v>
      </c>
      <c r="E7" s="12" t="str">
        <f>INT(E6/60)&amp;":"&amp;TEXT(MOD(E6,60),"00")</f>
        <v>2:00</v>
      </c>
      <c r="F7" s="5" t="s">
        <v>67</v>
      </c>
      <c r="G7" s="5" t="str">
        <f>TEXT(E6,"0")&amp;" min / 60 = "&amp;INT(E6/60)&amp;" h remainder "&amp;MOD(E6,60)&amp;" min -&gt; "&amp;E7</f>
        <v>120 min / 60 = 2 h remainder 0 min -&gt; 2:00</v>
      </c>
      <c r="H7" s="5" t="s">
        <v>68</v>
      </c>
    </row>
    <row r="8" spans="1:8" ht="42" customHeight="1" x14ac:dyDescent="0.25">
      <c r="A8" s="5">
        <v>5</v>
      </c>
      <c r="B8" s="5" t="s">
        <v>69</v>
      </c>
      <c r="C8" s="5" t="s">
        <v>70</v>
      </c>
      <c r="D8" s="5" t="s">
        <v>71</v>
      </c>
      <c r="E8" s="11">
        <f>E5</f>
        <v>101.04</v>
      </c>
      <c r="F8" s="5" t="s">
        <v>58</v>
      </c>
      <c r="G8" s="5" t="str">
        <f>"Only one labour row, so subtotal = row cost "&amp;"$"&amp;TEXT(E5,"#,##0.00")</f>
        <v>Only one labour row, so subtotal = row cost $101.04</v>
      </c>
      <c r="H8" s="5" t="s">
        <v>72</v>
      </c>
    </row>
    <row r="9" spans="1:8" ht="42" customHeight="1" x14ac:dyDescent="0.25">
      <c r="A9" s="5">
        <v>6</v>
      </c>
      <c r="B9" s="5" t="s">
        <v>73</v>
      </c>
      <c r="C9" s="5" t="s">
        <v>74</v>
      </c>
      <c r="D9" s="5" t="s">
        <v>75</v>
      </c>
      <c r="E9" s="11">
        <f>ROUND(Inputs!$B$14*E8,2)</f>
        <v>73.760000000000005</v>
      </c>
      <c r="F9" s="5" t="s">
        <v>58</v>
      </c>
      <c r="G9" s="5" t="str">
        <f>TEXT(Inputs!$B$14,"0.00")&amp;" x "&amp;"$"&amp;TEXT(E8,"#,##0.00")&amp;" = "&amp;"$"&amp;TEXT(E9,"#,##0.00")</f>
        <v>0.73 x $101.04 = $73.76</v>
      </c>
      <c r="H9" s="5" t="s">
        <v>76</v>
      </c>
    </row>
    <row r="10" spans="1:8" ht="42" customHeight="1" x14ac:dyDescent="0.25">
      <c r="A10" s="5">
        <v>7</v>
      </c>
      <c r="B10" s="5" t="s">
        <v>77</v>
      </c>
      <c r="C10" s="5" t="s">
        <v>78</v>
      </c>
      <c r="D10" s="5" t="s">
        <v>79</v>
      </c>
      <c r="E10" s="13">
        <f>E8+E9</f>
        <v>174.8</v>
      </c>
      <c r="F10" s="5" t="s">
        <v>58</v>
      </c>
      <c r="G10" s="5" t="str">
        <f>"$"&amp;TEXT(E8,"#,##0.00")&amp;" + "&amp;"$"&amp;TEXT(E9,"#,##0.00")&amp;" = "&amp;"$"&amp;TEXT(E10,"#,##0.00")</f>
        <v>$101.04 + $73.76 = $174.80</v>
      </c>
      <c r="H10" s="5" t="s">
        <v>80</v>
      </c>
    </row>
    <row r="11" spans="1:8" ht="42" customHeight="1" x14ac:dyDescent="0.25">
      <c r="A11" s="5">
        <v>8</v>
      </c>
      <c r="B11" s="5" t="s">
        <v>81</v>
      </c>
      <c r="C11" s="5" t="s">
        <v>82</v>
      </c>
      <c r="D11" s="5" t="s">
        <v>83</v>
      </c>
      <c r="E11" s="13">
        <f>Inputs!$B$18+E10</f>
        <v>813.88000000000011</v>
      </c>
      <c r="F11" s="5" t="s">
        <v>58</v>
      </c>
      <c r="G11" s="5" t="str">
        <f>"$"&amp;TEXT(Inputs!$B$18,"#,##0.00")&amp;" materials + "&amp;"$"&amp;TEXT(E10,"#,##0.00")&amp;" labour = "&amp;"$"&amp;TEXT(E11,"#,##0.00")</f>
        <v>$639.08 materials + $174.80 labour = $813.88</v>
      </c>
      <c r="H11" s="5" t="s">
        <v>84</v>
      </c>
    </row>
    <row r="12" spans="1:8" ht="42" customHeight="1" x14ac:dyDescent="0.25">
      <c r="A12" s="5">
        <v>9</v>
      </c>
      <c r="B12" s="5" t="s">
        <v>85</v>
      </c>
      <c r="C12" s="5" t="s">
        <v>86</v>
      </c>
      <c r="D12" s="5" t="s">
        <v>87</v>
      </c>
      <c r="E12" s="10">
        <f>ROUND(Inputs!$B$12/100*Inputs!$B$11*60,0)</f>
        <v>93</v>
      </c>
      <c r="F12" s="5" t="s">
        <v>53</v>
      </c>
      <c r="G12" s="5" t="str">
        <f>TEXT(Inputs!$B$12,"0")&amp;" / 100 x "&amp;TEXT(Inputs!$B$11,"0.0000")&amp;" h (1:33) x 60 = "&amp;TEXT(E12,"0")&amp;" min"</f>
        <v>100 / 100 x 1.5500 h (1:33) x 60 = 93 min</v>
      </c>
      <c r="H12" s="5" t="s">
        <v>88</v>
      </c>
    </row>
    <row r="13" spans="1:8" ht="42" customHeight="1" x14ac:dyDescent="0.25">
      <c r="A13" s="5">
        <v>10</v>
      </c>
      <c r="B13" s="5" t="s">
        <v>89</v>
      </c>
      <c r="C13" s="5" t="s">
        <v>65</v>
      </c>
      <c r="D13" s="5" t="s">
        <v>90</v>
      </c>
      <c r="E13" s="12" t="str">
        <f>INT(E12/60)&amp;":"&amp;TEXT(MOD(E12,60),"00")</f>
        <v>1:33</v>
      </c>
      <c r="F13" s="5" t="s">
        <v>67</v>
      </c>
      <c r="G13" s="5" t="str">
        <f>TEXT(E12,"0")&amp;" min / 60 = "&amp;INT(E12/60)&amp;" h remainder "&amp;MOD(E12,60)&amp;" min -&gt; "&amp;E13</f>
        <v>93 min / 60 = 1 h remainder 33 min -&gt; 1:33</v>
      </c>
      <c r="H13" s="5" t="s">
        <v>91</v>
      </c>
    </row>
    <row r="14" spans="1:8" ht="42" customHeight="1" x14ac:dyDescent="0.25">
      <c r="A14" s="5">
        <v>11</v>
      </c>
      <c r="B14" s="5" t="s">
        <v>92</v>
      </c>
      <c r="C14" s="5" t="s">
        <v>93</v>
      </c>
      <c r="D14" s="5" t="s">
        <v>94</v>
      </c>
      <c r="E14" s="10">
        <f>ROUND(Inputs!$B$9*60/Inputs!$B$15,0)</f>
        <v>100</v>
      </c>
      <c r="F14" s="5" t="s">
        <v>53</v>
      </c>
      <c r="G14" s="5" t="str">
        <f>TEXT(Inputs!$B$9,"0.00")&amp;" h x 60 = "&amp;TEXT(Inputs!$B$9*60,"0")&amp;" min / "&amp;TEXT(Inputs!$B$15,"0.00")&amp;" = "&amp;TEXT(Inputs!$B$9*60/Inputs!$B$15,"0.00")&amp;" -&gt; rounded "&amp;TEXT(E14,"0")&amp;" min"</f>
        <v>2.00 h x 60 = 120 min / 1.20 = 100.00 -&gt; rounded 100 min</v>
      </c>
      <c r="H14" s="5" t="s">
        <v>95</v>
      </c>
    </row>
    <row r="15" spans="1:8" ht="42" customHeight="1" x14ac:dyDescent="0.25">
      <c r="A15" s="5">
        <v>12</v>
      </c>
      <c r="B15" s="5" t="s">
        <v>96</v>
      </c>
      <c r="C15" s="5" t="s">
        <v>65</v>
      </c>
      <c r="D15" s="5" t="s">
        <v>97</v>
      </c>
      <c r="E15" s="14" t="str">
        <f>INT(E14/60)&amp;":"&amp;TEXT(MOD(E14,60),"00")</f>
        <v>1:40</v>
      </c>
      <c r="F15" s="5" t="s">
        <v>67</v>
      </c>
      <c r="G15" s="5" t="str">
        <f>TEXT(E14,"0")&amp;" min / 60 = "&amp;INT(E14/60)&amp;" h remainder "&amp;MOD(E14,60)&amp;" min -&gt; "&amp;E15</f>
        <v>100 min / 60 = 1 h remainder 40 min -&gt; 1:40</v>
      </c>
      <c r="H15" s="5" t="s">
        <v>98</v>
      </c>
    </row>
    <row r="16" spans="1:8" ht="42" customHeight="1" x14ac:dyDescent="0.25">
      <c r="A16" s="15">
        <v>13</v>
      </c>
      <c r="B16" s="15" t="s">
        <v>99</v>
      </c>
      <c r="C16" s="15" t="s">
        <v>100</v>
      </c>
      <c r="D16" s="15" t="s">
        <v>101</v>
      </c>
      <c r="E16" s="16">
        <f>ROUND(E8*Inputs!$B$16,2)</f>
        <v>51.53</v>
      </c>
      <c r="F16" s="15" t="s">
        <v>102</v>
      </c>
      <c r="G16" s="15" t="str">
        <f>"$"&amp;TEXT(E8,"#,##0.00")&amp;" x "&amp;TEXT(Inputs!$B$16,"0.00")&amp;" = "&amp;"$"&amp;TEXT(E16,"#,##0.00")</f>
        <v>$101.04 x 0.51 = $51.53</v>
      </c>
      <c r="H16" s="15" t="s">
        <v>103</v>
      </c>
    </row>
    <row r="17" spans="1:8" ht="42" customHeight="1" x14ac:dyDescent="0.25">
      <c r="A17" s="15">
        <v>14</v>
      </c>
      <c r="B17" s="15" t="s">
        <v>104</v>
      </c>
      <c r="C17" s="15" t="s">
        <v>105</v>
      </c>
      <c r="D17" s="15" t="s">
        <v>106</v>
      </c>
      <c r="E17" s="16">
        <f>ROUND((E8+E16)*Inputs!$B$17,2)</f>
        <v>0</v>
      </c>
      <c r="F17" s="15" t="s">
        <v>102</v>
      </c>
      <c r="G17" s="15" t="str">
        <f>"("&amp;"$"&amp;TEXT(E8,"#,##0.00")&amp;" + "&amp;"$"&amp;TEXT(E16,"#,##0.00")&amp;") x "&amp;TEXT(Inputs!$B$17,"0.00")&amp;" = "&amp;"$"&amp;TEXT(E17,"#,##0.00")</f>
        <v>($101.04 + $51.53) x 0.00 = $0.00</v>
      </c>
      <c r="H17" s="15" t="s">
        <v>107</v>
      </c>
    </row>
    <row r="18" spans="1:8" ht="42" customHeight="1" x14ac:dyDescent="0.25">
      <c r="A18" s="15">
        <v>15</v>
      </c>
      <c r="B18" s="15" t="s">
        <v>108</v>
      </c>
      <c r="C18" s="15" t="s">
        <v>109</v>
      </c>
      <c r="D18" s="15" t="s">
        <v>110</v>
      </c>
      <c r="E18" s="16">
        <f>E8+E16+E17+E9</f>
        <v>226.32999999999998</v>
      </c>
      <c r="F18" s="15" t="s">
        <v>58</v>
      </c>
      <c r="G18" s="15" t="str">
        <f>"$"&amp;TEXT(E8,"#,##0.00")&amp;" + "&amp;"$"&amp;TEXT(E16,"#,##0.00")&amp;" + "&amp;"$"&amp;TEXT(E17,"#,##0.00")&amp;" + "&amp;"$"&amp;TEXT(E9,"#,##0.00")&amp;" = "&amp;"$"&amp;TEXT(E18,"#,##0.00")</f>
        <v>$101.04 + $51.53 + $0.00 + $73.76 = $226.33</v>
      </c>
      <c r="H18" s="15" t="s">
        <v>111</v>
      </c>
    </row>
    <row r="19" spans="1:8" ht="42" customHeight="1" x14ac:dyDescent="0.25">
      <c r="A19" s="15">
        <v>16</v>
      </c>
      <c r="B19" s="15" t="s">
        <v>112</v>
      </c>
      <c r="C19" s="15" t="s">
        <v>113</v>
      </c>
      <c r="D19" s="15" t="s">
        <v>114</v>
      </c>
      <c r="E19" s="16">
        <f>Inputs!$B$18+E18</f>
        <v>865.41000000000008</v>
      </c>
      <c r="F19" s="15" t="s">
        <v>58</v>
      </c>
      <c r="G19" s="15" t="str">
        <f>"$"&amp;TEXT(Inputs!$B$18,"#,##0.00")&amp;" materials + "&amp;"$"&amp;TEXT(E18,"#,##0.00")&amp;" labour = "&amp;"$"&amp;TEXT(E19,"#,##0.00")</f>
        <v>$639.08 materials + $226.33 labour = $865.41</v>
      </c>
      <c r="H19" s="15" t="s">
        <v>115</v>
      </c>
    </row>
    <row r="21" spans="1:8" x14ac:dyDescent="0.25">
      <c r="A21" s="17" t="s">
        <v>116</v>
      </c>
    </row>
    <row r="22" spans="1:8" ht="27.75" customHeight="1" x14ac:dyDescent="0.25">
      <c r="A22" s="18" t="s">
        <v>117</v>
      </c>
      <c r="B22" s="1" t="s">
        <v>118</v>
      </c>
      <c r="C22" s="1"/>
      <c r="D22" s="1"/>
      <c r="E22" s="1"/>
      <c r="F22" s="1"/>
    </row>
    <row r="23" spans="1:8" ht="27.75" customHeight="1" x14ac:dyDescent="0.25">
      <c r="A23" s="18" t="s">
        <v>117</v>
      </c>
      <c r="B23" s="1" t="s">
        <v>119</v>
      </c>
      <c r="C23" s="1"/>
      <c r="D23" s="1"/>
      <c r="E23" s="1"/>
      <c r="F23" s="1"/>
    </row>
    <row r="24" spans="1:8" ht="27.75" customHeight="1" x14ac:dyDescent="0.25">
      <c r="A24" s="18" t="s">
        <v>117</v>
      </c>
      <c r="B24" s="1" t="s">
        <v>120</v>
      </c>
      <c r="C24" s="1"/>
      <c r="D24" s="1"/>
      <c r="E24" s="1"/>
      <c r="F24" s="1"/>
    </row>
    <row r="25" spans="1:8" ht="27.75" customHeight="1" x14ac:dyDescent="0.25">
      <c r="A25" s="18" t="s">
        <v>117</v>
      </c>
      <c r="B25" s="1" t="s">
        <v>121</v>
      </c>
      <c r="C25" s="1"/>
      <c r="D25" s="1"/>
      <c r="E25" s="1"/>
      <c r="F25" s="1"/>
    </row>
  </sheetData>
  <mergeCells count="4">
    <mergeCell ref="B22:F22"/>
    <mergeCell ref="B23:F23"/>
    <mergeCell ref="B24:F24"/>
    <mergeCell ref="B25:F25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"/>
  <sheetViews>
    <sheetView zoomScaleNormal="100" workbookViewId="0"/>
  </sheetViews>
  <sheetFormatPr defaultColWidth="8.7109375" defaultRowHeight="15" x14ac:dyDescent="0.25"/>
  <cols>
    <col min="1" max="1" width="30" customWidth="1"/>
    <col min="2" max="2" width="24" customWidth="1"/>
    <col min="3" max="3" width="70" customWidth="1"/>
    <col min="4" max="4" width="48" customWidth="1"/>
    <col min="5" max="5" width="14" customWidth="1"/>
  </cols>
  <sheetData>
    <row r="1" spans="1:5" ht="18" x14ac:dyDescent="0.25">
      <c r="A1" s="2" t="s">
        <v>122</v>
      </c>
    </row>
    <row r="3" spans="1:5" ht="25.5" x14ac:dyDescent="0.25">
      <c r="A3" s="4" t="s">
        <v>123</v>
      </c>
      <c r="B3" s="4" t="s">
        <v>124</v>
      </c>
      <c r="C3" s="4" t="s">
        <v>125</v>
      </c>
      <c r="D3" s="4" t="s">
        <v>126</v>
      </c>
      <c r="E3" s="4" t="s">
        <v>127</v>
      </c>
    </row>
    <row r="4" spans="1:5" ht="38.25" x14ac:dyDescent="0.25">
      <c r="A4" s="5" t="s">
        <v>30</v>
      </c>
      <c r="B4" s="5" t="s">
        <v>128</v>
      </c>
      <c r="C4" s="5" t="s">
        <v>129</v>
      </c>
      <c r="D4" s="5" t="s">
        <v>130</v>
      </c>
      <c r="E4" s="19">
        <f>Inputs!$B$14</f>
        <v>0.73</v>
      </c>
    </row>
    <row r="5" spans="1:5" ht="25.5" x14ac:dyDescent="0.25">
      <c r="A5" s="5" t="s">
        <v>33</v>
      </c>
      <c r="B5" s="5" t="s">
        <v>131</v>
      </c>
      <c r="C5" s="5" t="s">
        <v>132</v>
      </c>
      <c r="D5" s="5" t="s">
        <v>133</v>
      </c>
      <c r="E5" s="19">
        <f>Inputs!$B$15</f>
        <v>1.2</v>
      </c>
    </row>
    <row r="6" spans="1:5" ht="25.5" x14ac:dyDescent="0.25">
      <c r="A6" s="5" t="s">
        <v>35</v>
      </c>
      <c r="B6" s="5" t="s">
        <v>134</v>
      </c>
      <c r="C6" s="5" t="s">
        <v>135</v>
      </c>
      <c r="D6" s="5" t="s">
        <v>136</v>
      </c>
      <c r="E6" s="19">
        <f>Inputs!$B$16</f>
        <v>0.51</v>
      </c>
    </row>
    <row r="7" spans="1:5" x14ac:dyDescent="0.25">
      <c r="A7" s="5" t="s">
        <v>37</v>
      </c>
      <c r="B7" s="5" t="s">
        <v>134</v>
      </c>
      <c r="C7" s="5" t="s">
        <v>137</v>
      </c>
      <c r="D7" s="5" t="s">
        <v>136</v>
      </c>
      <c r="E7" s="19">
        <f>Inputs!$B$17</f>
        <v>0</v>
      </c>
    </row>
    <row r="8" spans="1:5" ht="25.5" x14ac:dyDescent="0.25">
      <c r="A8" s="5" t="s">
        <v>138</v>
      </c>
      <c r="B8" s="5" t="s">
        <v>134</v>
      </c>
      <c r="C8" s="5" t="s">
        <v>139</v>
      </c>
      <c r="D8" s="5" t="s">
        <v>140</v>
      </c>
      <c r="E8" s="19" t="s">
        <v>141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4"/>
  <sheetViews>
    <sheetView tabSelected="1" zoomScaleNormal="100" workbookViewId="0">
      <selection activeCell="C17" sqref="C17"/>
    </sheetView>
  </sheetViews>
  <sheetFormatPr defaultColWidth="8.7109375" defaultRowHeight="15" x14ac:dyDescent="0.25"/>
  <cols>
    <col min="1" max="1" width="26" customWidth="1"/>
    <col min="2" max="2" width="36" customWidth="1"/>
    <col min="3" max="4" width="60" customWidth="1"/>
    <col min="5" max="5" width="16" customWidth="1"/>
  </cols>
  <sheetData>
    <row r="1" spans="1:5" ht="18" x14ac:dyDescent="0.25">
      <c r="A1" s="2" t="s">
        <v>142</v>
      </c>
    </row>
    <row r="3" spans="1:5" x14ac:dyDescent="0.25">
      <c r="A3" s="4" t="s">
        <v>143</v>
      </c>
      <c r="B3" s="4" t="s">
        <v>144</v>
      </c>
      <c r="C3" s="4" t="s">
        <v>145</v>
      </c>
      <c r="D3" s="4" t="s">
        <v>146</v>
      </c>
      <c r="E3" s="4" t="s">
        <v>147</v>
      </c>
    </row>
    <row r="4" spans="1:5" x14ac:dyDescent="0.25">
      <c r="A4" s="5" t="s">
        <v>148</v>
      </c>
      <c r="B4" s="5" t="s">
        <v>149</v>
      </c>
      <c r="C4" s="5" t="s">
        <v>150</v>
      </c>
      <c r="D4" s="5" t="s">
        <v>151</v>
      </c>
      <c r="E4" s="5" t="s">
        <v>134</v>
      </c>
    </row>
    <row r="5" spans="1:5" x14ac:dyDescent="0.25">
      <c r="A5" s="5" t="s">
        <v>152</v>
      </c>
      <c r="B5" s="5" t="s">
        <v>153</v>
      </c>
      <c r="C5" s="5" t="s">
        <v>154</v>
      </c>
      <c r="D5" s="5" t="s">
        <v>155</v>
      </c>
      <c r="E5" s="5" t="s">
        <v>128</v>
      </c>
    </row>
    <row r="6" spans="1:5" x14ac:dyDescent="0.25">
      <c r="A6" s="5" t="s">
        <v>25</v>
      </c>
      <c r="B6" s="5" t="s">
        <v>26</v>
      </c>
      <c r="C6" s="5" t="s">
        <v>156</v>
      </c>
      <c r="D6" s="5" t="s">
        <v>157</v>
      </c>
      <c r="E6" s="5" t="s">
        <v>128</v>
      </c>
    </row>
    <row r="7" spans="1:5" x14ac:dyDescent="0.25">
      <c r="A7" s="5" t="s">
        <v>158</v>
      </c>
      <c r="B7" s="5" t="s">
        <v>159</v>
      </c>
      <c r="C7" s="5" t="s">
        <v>160</v>
      </c>
      <c r="D7" s="5" t="s">
        <v>161</v>
      </c>
      <c r="E7" s="5" t="s">
        <v>162</v>
      </c>
    </row>
    <row r="8" spans="1:5" ht="38.25" x14ac:dyDescent="0.25">
      <c r="A8" s="5" t="s">
        <v>163</v>
      </c>
      <c r="B8" s="5" t="s">
        <v>164</v>
      </c>
      <c r="C8" s="5" t="s">
        <v>165</v>
      </c>
      <c r="D8" s="5" t="s">
        <v>166</v>
      </c>
      <c r="E8" s="5" t="s">
        <v>134</v>
      </c>
    </row>
    <row r="9" spans="1:5" x14ac:dyDescent="0.25">
      <c r="A9" s="5" t="s">
        <v>167</v>
      </c>
      <c r="B9" s="5" t="s">
        <v>168</v>
      </c>
      <c r="C9" s="5" t="s">
        <v>169</v>
      </c>
      <c r="D9" s="5" t="s">
        <v>170</v>
      </c>
      <c r="E9" s="5" t="s">
        <v>134</v>
      </c>
    </row>
    <row r="10" spans="1:5" ht="25.5" x14ac:dyDescent="0.25">
      <c r="A10" s="5" t="s">
        <v>171</v>
      </c>
      <c r="B10" s="5" t="s">
        <v>172</v>
      </c>
      <c r="C10" s="5" t="s">
        <v>173</v>
      </c>
      <c r="D10" s="5" t="s">
        <v>174</v>
      </c>
      <c r="E10" s="5" t="s">
        <v>128</v>
      </c>
    </row>
    <row r="11" spans="1:5" x14ac:dyDescent="0.25">
      <c r="A11" s="5" t="s">
        <v>175</v>
      </c>
      <c r="B11" s="5" t="s">
        <v>176</v>
      </c>
      <c r="C11" s="5" t="s">
        <v>177</v>
      </c>
      <c r="D11" s="5" t="s">
        <v>178</v>
      </c>
      <c r="E11" s="5" t="s">
        <v>128</v>
      </c>
    </row>
    <row r="12" spans="1:5" x14ac:dyDescent="0.25">
      <c r="A12" s="5" t="s">
        <v>179</v>
      </c>
      <c r="B12" s="5" t="s">
        <v>180</v>
      </c>
      <c r="C12" s="5" t="s">
        <v>181</v>
      </c>
      <c r="D12" s="5" t="s">
        <v>182</v>
      </c>
      <c r="E12" s="5" t="s">
        <v>128</v>
      </c>
    </row>
    <row r="13" spans="1:5" x14ac:dyDescent="0.25">
      <c r="A13" s="5" t="s">
        <v>183</v>
      </c>
      <c r="B13" s="5" t="s">
        <v>184</v>
      </c>
      <c r="C13" s="5" t="s">
        <v>185</v>
      </c>
      <c r="D13" s="5" t="s">
        <v>186</v>
      </c>
      <c r="E13" s="5" t="s">
        <v>187</v>
      </c>
    </row>
    <row r="14" spans="1:5" ht="102" x14ac:dyDescent="0.25">
      <c r="A14" s="5" t="s">
        <v>188</v>
      </c>
      <c r="B14" s="5" t="s">
        <v>189</v>
      </c>
      <c r="C14" s="5" t="s">
        <v>190</v>
      </c>
      <c r="D14" s="5" t="s">
        <v>141</v>
      </c>
      <c r="E14" s="5" t="s">
        <v>134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Inputs</vt:lpstr>
      <vt:lpstr>Calculations</vt:lpstr>
      <vt:lpstr>Settings Usage</vt:lpstr>
      <vt:lpstr>Field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San KANAO</cp:lastModifiedBy>
  <cp:revision>0</cp:revision>
  <dcterms:created xsi:type="dcterms:W3CDTF">2026-10-16T13:26:58Z</dcterms:created>
  <dcterms:modified xsi:type="dcterms:W3CDTF">2026-10-16T13:43:02Z</dcterms:modified>
  <dc:language>en-US</dc:language>
</cp:coreProperties>
</file>